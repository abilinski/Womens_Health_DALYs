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filterPrivacy="1"/>
  <xr:revisionPtr revIDLastSave="0" documentId="13_ncr:1_{D583EFC3-F5E8-F14C-A1C4-5B93AB2EE3DE}" xr6:coauthVersionLast="47" xr6:coauthVersionMax="47" xr10:uidLastSave="{00000000-0000-0000-0000-000000000000}"/>
  <bookViews>
    <workbookView xWindow="0" yWindow="760" windowWidth="34560" windowHeight="21580" activeTab="1" xr2:uid="{00000000-000D-0000-FFFF-FFFF00000000}"/>
  </bookViews>
  <sheets>
    <sheet name="Information" sheetId="1" r:id="rId1"/>
    <sheet name="Data" sheetId="2" r:id="rId2"/>
  </sheets>
  <definedNames>
    <definedName name="_xlnm.Print_Titles" localSheetId="1">Data!$A:$A,Data!$1:$3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2" l="1"/>
</calcChain>
</file>

<file path=xl/sharedStrings.xml><?xml version="1.0" encoding="utf-8"?>
<sst xmlns="http://schemas.openxmlformats.org/spreadsheetml/2006/main" count="593" uniqueCount="365">
  <si>
    <t>Age and Sex</t>
  </si>
  <si>
    <t>Note: The table shown may have been modified by user selections. Some information may be missing.</t>
  </si>
  <si>
    <t>DATA NOTES</t>
  </si>
  <si>
    <t/>
  </si>
  <si>
    <t>TABLE ID:</t>
  </si>
  <si>
    <t>S0101</t>
  </si>
  <si>
    <t>SURVEY/PROGRAM:</t>
  </si>
  <si>
    <t>American Community Survey</t>
  </si>
  <si>
    <t>VINTAGE:</t>
  </si>
  <si>
    <t>2024</t>
  </si>
  <si>
    <t>DATASET:</t>
  </si>
  <si>
    <t>ACSST1Y2024</t>
  </si>
  <si>
    <t>PRODUCT:</t>
  </si>
  <si>
    <t>ACS 1-Year Estimates Subject Tables</t>
  </si>
  <si>
    <t>UNIVERSE:</t>
  </si>
  <si>
    <t>None</t>
  </si>
  <si>
    <t>MLA:</t>
  </si>
  <si>
    <t>U.S. Census Bureau. "Age and Sex." American Community Survey, ACS 1-Year Estimates Subject Tables, Table S0101, https://data.census.gov/table/ACSST1Y2024.S0101. Accessed on 2 Dec 2025.</t>
  </si>
  <si>
    <t>FTP URL:</t>
  </si>
  <si>
    <t>API URL:</t>
  </si>
  <si>
    <t>https://api.census.gov/data/2024/acs/acs1/subject</t>
  </si>
  <si>
    <t>USER SELECTIONS</t>
  </si>
  <si>
    <t>EXCLUDED COLUMNS</t>
  </si>
  <si>
    <t>APPLIED FILTERS</t>
  </si>
  <si>
    <t>APPLIED SORTS</t>
  </si>
  <si>
    <t>PIVOT &amp; GROUPING</t>
  </si>
  <si>
    <t>PIVOT COLUMNS</t>
  </si>
  <si>
    <t>PIVOT MODE</t>
  </si>
  <si>
    <t>Off</t>
  </si>
  <si>
    <t>ROW GROUPS</t>
  </si>
  <si>
    <t>VALUE COLUMNS</t>
  </si>
  <si>
    <t>WEB ADDRESS</t>
  </si>
  <si>
    <t>https://data.census.gov/table/ACSST1Y2024.S0101</t>
  </si>
  <si>
    <t>TABLE NOTES</t>
  </si>
  <si>
    <t>Key Table Information</t>
  </si>
  <si>
    <t>Table Title</t>
  </si>
  <si>
    <t>Table ID</t>
  </si>
  <si>
    <t>ACSST1Y2024.S0101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</si>
  <si>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</si>
  <si>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</si>
  <si>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</si>
  <si>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</si>
  <si>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</si>
  <si>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</si>
  <si>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</si>
  <si>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</si>
  <si>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</si>
  <si>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</si>
  <si>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</si>
  <si>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</si>
  <si>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</si>
  <si>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</si>
  <si>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</si>
  <si>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</si>
  <si>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</si>
  <si>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</si>
  <si>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</si>
  <si>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</si>
  <si>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</si>
  <si>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</si>
  <si>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</si>
  <si>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</si>
  <si>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</si>
  <si>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</si>
  <si>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The age dependency ratio is derived by dividing the combined under-18 and 65-and-over populations by the 18-to-64 population and multiplying by 100.
The old-age dependency ratio is derived by dividing the population 65 and over by the 18-to-64 population and multiplying by 100.
The child dependency ratio is derived by dividing the population under 18 by the 18-to-64 population and multiplying by 100.
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</si>
  <si>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Additional Information</t>
  </si>
  <si>
    <t>Contact Information</t>
  </si>
  <si>
    <t>Contact the Census Bureau Customer Help Center at 1-800-923-8282 or submit a question at ask.census.gov.</t>
  </si>
  <si>
    <t>Suggested Citation</t>
  </si>
  <si>
    <t>U.S. Census Bureau. "Age and Sex" American Community Survey, ACS 1-Year Estimates Subject Tables, Table S0101, 2024, https://data.census.gov/table/ACSST1Y2024.S0101?q=S0101: Accessed on December 02, 2025.</t>
  </si>
  <si>
    <t>COLUMN NOTES</t>
  </si>
  <si>
    <t>United States</t>
  </si>
  <si>
    <t>Total</t>
  </si>
  <si>
    <t>Percent</t>
  </si>
  <si>
    <t>Male</t>
  </si>
  <si>
    <t>Percent Male</t>
  </si>
  <si>
    <t>Female</t>
  </si>
  <si>
    <t>Percent Female</t>
  </si>
  <si>
    <t>Label</t>
  </si>
  <si>
    <t>Estimate</t>
  </si>
  <si>
    <t>Margin of Error</t>
  </si>
  <si>
    <t>Total population</t>
  </si>
  <si>
    <t>340,110,990</t>
  </si>
  <si>
    <t>*****</t>
  </si>
  <si>
    <t>(X)</t>
  </si>
  <si>
    <t>168,294,343</t>
  </si>
  <si>
    <t>±32,107</t>
  </si>
  <si>
    <t>171,816,647</t>
  </si>
  <si>
    <t>AGE</t>
  </si>
  <si>
    <t>Under 5 years</t>
  </si>
  <si>
    <t>18,365,047</t>
  </si>
  <si>
    <t>±18,704</t>
  </si>
  <si>
    <t>5.4%</t>
  </si>
  <si>
    <t>±0.1</t>
  </si>
  <si>
    <t>9,370,856</t>
  </si>
  <si>
    <t>±21,642</t>
  </si>
  <si>
    <t>5.6%</t>
  </si>
  <si>
    <t>±18,211</t>
  </si>
  <si>
    <t>5.2%</t>
  </si>
  <si>
    <t>5 to 9 years</t>
  </si>
  <si>
    <t>19,806,742</t>
  </si>
  <si>
    <t>±65,396</t>
  </si>
  <si>
    <t>5.8%</t>
  </si>
  <si>
    <t>10,123,467</t>
  </si>
  <si>
    <t>±42,632</t>
  </si>
  <si>
    <t>6.0%</t>
  </si>
  <si>
    <t>±40,981</t>
  </si>
  <si>
    <t>10 to 14 years</t>
  </si>
  <si>
    <t>21,346,363</t>
  </si>
  <si>
    <t>±65,976</t>
  </si>
  <si>
    <t>6.3%</t>
  </si>
  <si>
    <t>10,976,815</t>
  </si>
  <si>
    <t>±42,333</t>
  </si>
  <si>
    <t>6.5%</t>
  </si>
  <si>
    <t>±43,418</t>
  </si>
  <si>
    <t>15 to 19 years</t>
  </si>
  <si>
    <t>22,449,564</t>
  </si>
  <si>
    <t>±41,128</t>
  </si>
  <si>
    <t>6.6%</t>
  </si>
  <si>
    <t>11,503,628</t>
  </si>
  <si>
    <t>±31,118</t>
  </si>
  <si>
    <t>6.8%</t>
  </si>
  <si>
    <t>±30,482</t>
  </si>
  <si>
    <t>6.4%</t>
  </si>
  <si>
    <t>20 to 24 years</t>
  </si>
  <si>
    <t>22,232,555</t>
  </si>
  <si>
    <t>±38,762</t>
  </si>
  <si>
    <t>11,386,304</t>
  </si>
  <si>
    <t>±25,087</t>
  </si>
  <si>
    <t>±24,258</t>
  </si>
  <si>
    <t>25 to 29 years</t>
  </si>
  <si>
    <t>22,323,951</t>
  </si>
  <si>
    <t>±32,411</t>
  </si>
  <si>
    <t>11,310,221</t>
  </si>
  <si>
    <t>±21,288</t>
  </si>
  <si>
    <t>6.7%</t>
  </si>
  <si>
    <t>±20,511</t>
  </si>
  <si>
    <t>30 to 34 years</t>
  </si>
  <si>
    <t>23,874,454</t>
  </si>
  <si>
    <t>±27,146</t>
  </si>
  <si>
    <t>7.0%</t>
  </si>
  <si>
    <t>12,049,960</t>
  </si>
  <si>
    <t>±18,530</t>
  </si>
  <si>
    <t>7.2%</t>
  </si>
  <si>
    <t>±18,289</t>
  </si>
  <si>
    <t>6.9%</t>
  </si>
  <si>
    <t>35 to 39 years</t>
  </si>
  <si>
    <t>23,255,856</t>
  </si>
  <si>
    <t>±79,543</t>
  </si>
  <si>
    <t>11,736,345</t>
  </si>
  <si>
    <t>±53,647</t>
  </si>
  <si>
    <t>±48,734</t>
  </si>
  <si>
    <t>40 to 44 years</t>
  </si>
  <si>
    <t>22,701,029</t>
  </si>
  <si>
    <t>±81,788</t>
  </si>
  <si>
    <t>11,427,109</t>
  </si>
  <si>
    <t>±54,310</t>
  </si>
  <si>
    <t>±49,310</t>
  </si>
  <si>
    <t>45 to 49 years</t>
  </si>
  <si>
    <t>20,348,201</t>
  </si>
  <si>
    <t>±28,210</t>
  </si>
  <si>
    <t>10,142,209</t>
  </si>
  <si>
    <t>±18,054</t>
  </si>
  <si>
    <t>±18,682</t>
  </si>
  <si>
    <t>5.9%</t>
  </si>
  <si>
    <t>50 to 54 years</t>
  </si>
  <si>
    <t>20,474,684</t>
  </si>
  <si>
    <t>±28,087</t>
  </si>
  <si>
    <t>10,186,138</t>
  </si>
  <si>
    <t>±16,961</t>
  </si>
  <si>
    <t>6.1%</t>
  </si>
  <si>
    <t>±19,386</t>
  </si>
  <si>
    <t>55 to 59 years</t>
  </si>
  <si>
    <t>19,958,796</t>
  </si>
  <si>
    <t>±64,318</t>
  </si>
  <si>
    <t>9,826,949</t>
  </si>
  <si>
    <t>±41,254</t>
  </si>
  <si>
    <t>±39,853</t>
  </si>
  <si>
    <t>60 to 64 years</t>
  </si>
  <si>
    <t>21,728,465</t>
  </si>
  <si>
    <t>±68,510</t>
  </si>
  <si>
    <t>10,571,031</t>
  </si>
  <si>
    <t>±42,931</t>
  </si>
  <si>
    <t>±40,495</t>
  </si>
  <si>
    <t>65 to 69 years</t>
  </si>
  <si>
    <t>19,356,883</t>
  </si>
  <si>
    <t>±56,140</t>
  </si>
  <si>
    <t>5.7%</t>
  </si>
  <si>
    <t>9,189,235</t>
  </si>
  <si>
    <t>±36,643</t>
  </si>
  <si>
    <t>5.5%</t>
  </si>
  <si>
    <t>±36,504</t>
  </si>
  <si>
    <t>70 to 74 years</t>
  </si>
  <si>
    <t>16,228,208</t>
  </si>
  <si>
    <t>±55,248</t>
  </si>
  <si>
    <t>4.8%</t>
  </si>
  <si>
    <t>7,555,183</t>
  </si>
  <si>
    <t>±34,962</t>
  </si>
  <si>
    <t>4.5%</t>
  </si>
  <si>
    <t>±35,777</t>
  </si>
  <si>
    <t>5.0%</t>
  </si>
  <si>
    <t>75 to 79 years</t>
  </si>
  <si>
    <t>11,962,541</t>
  </si>
  <si>
    <t>±47,920</t>
  </si>
  <si>
    <t>3.5%</t>
  </si>
  <si>
    <t>5,403,472</t>
  </si>
  <si>
    <t>±25,680</t>
  </si>
  <si>
    <t>3.2%</t>
  </si>
  <si>
    <t>±35,130</t>
  </si>
  <si>
    <t>3.8%</t>
  </si>
  <si>
    <t>80 to 84 years</t>
  </si>
  <si>
    <t>7,354,498</t>
  </si>
  <si>
    <t>±39,474</t>
  </si>
  <si>
    <t>2.2%</t>
  </si>
  <si>
    <t>3,166,864</t>
  </si>
  <si>
    <t>±23,622</t>
  </si>
  <si>
    <t>1.9%</t>
  </si>
  <si>
    <t>±29,592</t>
  </si>
  <si>
    <t>2.4%</t>
  </si>
  <si>
    <t>85 years and over</t>
  </si>
  <si>
    <t>6,343,153</t>
  </si>
  <si>
    <t>±34,356</t>
  </si>
  <si>
    <t>2,368,557</t>
  </si>
  <si>
    <t>±20,795</t>
  </si>
  <si>
    <t>1.4%</t>
  </si>
  <si>
    <t>±25,125</t>
  </si>
  <si>
    <t>2.3%</t>
  </si>
  <si>
    <t>SELECTED AGE CATEGORIES</t>
  </si>
  <si>
    <t>5 to 14 years</t>
  </si>
  <si>
    <t>41,153,105</t>
  </si>
  <si>
    <t>±39,134</t>
  </si>
  <si>
    <t>12.1%</t>
  </si>
  <si>
    <t>21,100,282</t>
  </si>
  <si>
    <t>±23,317</t>
  </si>
  <si>
    <t>12.5%</t>
  </si>
  <si>
    <t>20,052,823</t>
  </si>
  <si>
    <t>±26,149</t>
  </si>
  <si>
    <t>11.7%</t>
  </si>
  <si>
    <t>15 to 17 years</t>
  </si>
  <si>
    <t>13,411,160</t>
  </si>
  <si>
    <t>±22,154</t>
  </si>
  <si>
    <t>3.9%</t>
  </si>
  <si>
    <t>6,884,490</t>
  </si>
  <si>
    <t>±21,176</t>
  </si>
  <si>
    <t>4.1%</t>
  </si>
  <si>
    <t>6,526,670</t>
  </si>
  <si>
    <t>±18,517</t>
  </si>
  <si>
    <t>Under 18 years</t>
  </si>
  <si>
    <t>72,929,312</t>
  </si>
  <si>
    <t>±31,522</t>
  </si>
  <si>
    <t>21.4%</t>
  </si>
  <si>
    <t>37,355,628</t>
  </si>
  <si>
    <t>±31,612</t>
  </si>
  <si>
    <t>22.2%</t>
  </si>
  <si>
    <t>35,573,684</t>
  </si>
  <si>
    <t>±33,676</t>
  </si>
  <si>
    <t>20.7%</t>
  </si>
  <si>
    <t>18 to 24 years</t>
  </si>
  <si>
    <t>31,270,959</t>
  </si>
  <si>
    <t>±48,363</t>
  </si>
  <si>
    <t>9.2%</t>
  </si>
  <si>
    <t>16,005,442</t>
  </si>
  <si>
    <t>±29,069</t>
  </si>
  <si>
    <t>9.5%</t>
  </si>
  <si>
    <t>15,265,517</t>
  </si>
  <si>
    <t>±26,562</t>
  </si>
  <si>
    <t>8.9%</t>
  </si>
  <si>
    <t>15 to 44 years</t>
  </si>
  <si>
    <t>136,837,409</t>
  </si>
  <si>
    <t>±35,009</t>
  </si>
  <si>
    <t>40.2%</t>
  </si>
  <si>
    <t>69,413,567</t>
  </si>
  <si>
    <t>±31,671</t>
  </si>
  <si>
    <t>41.2%</t>
  </si>
  <si>
    <t>67,423,842</t>
  </si>
  <si>
    <t>±31,154</t>
  </si>
  <si>
    <t>39.2%</t>
  </si>
  <si>
    <t>16 years and over</t>
  </si>
  <si>
    <t>276,249,478</t>
  </si>
  <si>
    <t>±52,420</t>
  </si>
  <si>
    <t>81.2%</t>
  </si>
  <si>
    <t>135,592,747</t>
  </si>
  <si>
    <t>±38,117</t>
  </si>
  <si>
    <t>80.6%</t>
  </si>
  <si>
    <t>140,656,731</t>
  </si>
  <si>
    <t>±38,622</t>
  </si>
  <si>
    <t>81.9%</t>
  </si>
  <si>
    <t>18 years and over</t>
  </si>
  <si>
    <t>267,181,678</t>
  </si>
  <si>
    <t>±31,516</t>
  </si>
  <si>
    <t>78.6%</t>
  </si>
  <si>
    <t>130,938,715</t>
  </si>
  <si>
    <t>±26,572</t>
  </si>
  <si>
    <t>77.8%</t>
  </si>
  <si>
    <t>136,242,963</t>
  </si>
  <si>
    <t>±22,586</t>
  </si>
  <si>
    <t>79.3%</t>
  </si>
  <si>
    <t>21 years and over</t>
  </si>
  <si>
    <t>253,717,216</t>
  </si>
  <si>
    <t>±84,391</t>
  </si>
  <si>
    <t>74.6%</t>
  </si>
  <si>
    <t>124,048,540</t>
  </si>
  <si>
    <t>±48,511</t>
  </si>
  <si>
    <t>73.7%</t>
  </si>
  <si>
    <t>129,668,676</t>
  </si>
  <si>
    <t>±54,838</t>
  </si>
  <si>
    <t>75.5%</t>
  </si>
  <si>
    <t>60 years and over</t>
  </si>
  <si>
    <t>82,973,748</t>
  </si>
  <si>
    <t>±74,037</t>
  </si>
  <si>
    <t>24.4%</t>
  </si>
  <si>
    <t>38,254,342</t>
  </si>
  <si>
    <t>±46,038</t>
  </si>
  <si>
    <t>22.7%</t>
  </si>
  <si>
    <t>44,719,406</t>
  </si>
  <si>
    <t>±43,415</t>
  </si>
  <si>
    <t>26.0%</t>
  </si>
  <si>
    <t>62 years and over</t>
  </si>
  <si>
    <t>74,266,307</t>
  </si>
  <si>
    <t>±64,234</t>
  </si>
  <si>
    <t>21.8%</t>
  </si>
  <si>
    <t>33,999,187</t>
  </si>
  <si>
    <t>±43,336</t>
  </si>
  <si>
    <t>20.2%</t>
  </si>
  <si>
    <t>40,267,120</t>
  </si>
  <si>
    <t>±38,340</t>
  </si>
  <si>
    <t>23.4%</t>
  </si>
  <si>
    <t>65 years and over</t>
  </si>
  <si>
    <t>61,245,283</t>
  </si>
  <si>
    <t>±24,867</t>
  </si>
  <si>
    <t>18.0%</t>
  </si>
  <si>
    <t>27,683,311</t>
  </si>
  <si>
    <t>±15,483</t>
  </si>
  <si>
    <t>16.4%</t>
  </si>
  <si>
    <t>33,561,972</t>
  </si>
  <si>
    <t>±16,234</t>
  </si>
  <si>
    <t>19.5%</t>
  </si>
  <si>
    <t>75 years and over</t>
  </si>
  <si>
    <t>25,660,192</t>
  </si>
  <si>
    <t>±16,745</t>
  </si>
  <si>
    <t>7.5%</t>
  </si>
  <si>
    <t>10,938,893</t>
  </si>
  <si>
    <t>±12,033</t>
  </si>
  <si>
    <t>14,721,299</t>
  </si>
  <si>
    <t>±10,390</t>
  </si>
  <si>
    <t>8.6%</t>
  </si>
  <si>
    <t>SUMMARY INDICATORS</t>
  </si>
  <si>
    <t>Median age (years)</t>
  </si>
  <si>
    <t>39.2</t>
  </si>
  <si>
    <t>38.1</t>
  </si>
  <si>
    <t>±0.2</t>
  </si>
  <si>
    <t>40.3</t>
  </si>
  <si>
    <t>Sex ratio (males per 100 females)</t>
  </si>
  <si>
    <t>97.9</t>
  </si>
  <si>
    <t>Age dependency ratio</t>
  </si>
  <si>
    <t>65.2</t>
  </si>
  <si>
    <t>Old-age dependency ratio</t>
  </si>
  <si>
    <t>29.7</t>
  </si>
  <si>
    <t>Child dependency ratio</t>
  </si>
  <si>
    <t>35.4</t>
  </si>
  <si>
    <t>PERCENT ALLOCATED</t>
  </si>
  <si>
    <t>Sex</t>
  </si>
  <si>
    <t>0.0%</t>
  </si>
  <si>
    <t>Age</t>
  </si>
  <si>
    <t>Females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</si>
</sst>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amily val="2"/>
    </font>
    <font>
      <b/>
      <sz val="11"/>
      <name val="Calibr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3" fontId="0" fillId="0" borderId="0" xfId="0" applyNumberFormat="1" applyAlignment="1">
      <alignment wrapText="1"/>
    </xf>
    <xf numFmtId="0" fontId="3" fillId="2" borderId="0" xfId="0" applyFont="1" applyFill="1" applyAlignment="1">
      <alignment wrapText="1"/>
    </xf>
    <xf numFmtId="3" fontId="0" fillId="2" borderId="0" xfId="0" applyNumberFormat="1" applyFill="1"/>
    <xf numFmtId="0" fontId="0" fillId="0" borderId="0" xfId="0" applyAlignment="1">
      <alignment vertical="top" wrapText="1"/>
    </xf>
    <xf numFmtId="0" fontId="1" fillId="0" borderId="1" xfId="0" applyFont="1" applyBorder="1" applyAlignment="1">
      <alignment horizontal="center" vertical="center" wrapText="1" shrinkToFi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57"/>
  <sheetViews>
    <sheetView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12" t="s">
        <v>0</v>
      </c>
      <c r="B1" s="12"/>
      <c r="C1" s="2"/>
    </row>
    <row r="2" spans="1:3" x14ac:dyDescent="0.2">
      <c r="A2" s="11"/>
      <c r="B2" s="11"/>
      <c r="C2" s="11"/>
    </row>
    <row r="3" spans="1:3" x14ac:dyDescent="0.2">
      <c r="A3" s="13" t="s">
        <v>1</v>
      </c>
      <c r="B3" s="13"/>
      <c r="C3" s="13"/>
    </row>
    <row r="4" spans="1:3" x14ac:dyDescent="0.2">
      <c r="A4" s="11"/>
      <c r="B4" s="11"/>
      <c r="C4" s="11"/>
    </row>
    <row r="5" spans="1:3" ht="21.25" customHeight="1" x14ac:dyDescent="0.2">
      <c r="A5" s="3" t="s">
        <v>2</v>
      </c>
      <c r="B5" s="11" t="s">
        <v>3</v>
      </c>
      <c r="C5" s="11"/>
    </row>
    <row r="6" spans="1:3" ht="21.25" customHeight="1" x14ac:dyDescent="0.2">
      <c r="A6" s="1" t="s">
        <v>4</v>
      </c>
      <c r="B6" s="11" t="s">
        <v>5</v>
      </c>
      <c r="C6" s="11"/>
    </row>
    <row r="7" spans="1:3" ht="21.25" customHeight="1" x14ac:dyDescent="0.2">
      <c r="A7" s="1" t="s">
        <v>6</v>
      </c>
      <c r="B7" s="11" t="s">
        <v>7</v>
      </c>
      <c r="C7" s="11"/>
    </row>
    <row r="8" spans="1:3" ht="21.25" customHeight="1" x14ac:dyDescent="0.2">
      <c r="A8" s="1" t="s">
        <v>8</v>
      </c>
      <c r="B8" s="11" t="s">
        <v>9</v>
      </c>
      <c r="C8" s="11"/>
    </row>
    <row r="9" spans="1:3" ht="21.25" customHeight="1" x14ac:dyDescent="0.2">
      <c r="A9" s="1" t="s">
        <v>10</v>
      </c>
      <c r="B9" s="11" t="s">
        <v>11</v>
      </c>
      <c r="C9" s="11"/>
    </row>
    <row r="10" spans="1:3" ht="21.25" customHeight="1" x14ac:dyDescent="0.2">
      <c r="A10" s="1" t="s">
        <v>12</v>
      </c>
      <c r="B10" s="11" t="s">
        <v>13</v>
      </c>
      <c r="C10" s="11"/>
    </row>
    <row r="11" spans="1:3" ht="21.25" customHeight="1" x14ac:dyDescent="0.2">
      <c r="A11" s="1" t="s">
        <v>14</v>
      </c>
      <c r="B11" s="11" t="s">
        <v>15</v>
      </c>
      <c r="C11" s="11"/>
    </row>
    <row r="12" spans="1:3" ht="64" customHeight="1" x14ac:dyDescent="0.2">
      <c r="A12" s="1" t="s">
        <v>16</v>
      </c>
      <c r="B12" s="11" t="s">
        <v>17</v>
      </c>
      <c r="C12" s="11"/>
    </row>
    <row r="13" spans="1:3" ht="21.25" customHeight="1" x14ac:dyDescent="0.2">
      <c r="A13" s="1" t="s">
        <v>18</v>
      </c>
      <c r="B13" s="11" t="s">
        <v>15</v>
      </c>
      <c r="C13" s="11"/>
    </row>
    <row r="14" spans="1:3" ht="21.25" customHeight="1" x14ac:dyDescent="0.2">
      <c r="A14" s="1" t="s">
        <v>19</v>
      </c>
      <c r="B14" s="11" t="s">
        <v>20</v>
      </c>
      <c r="C14" s="11"/>
    </row>
    <row r="15" spans="1:3" x14ac:dyDescent="0.2">
      <c r="A15" s="11"/>
      <c r="B15" s="11"/>
      <c r="C15" s="11"/>
    </row>
    <row r="16" spans="1:3" ht="21.25" customHeight="1" x14ac:dyDescent="0.2">
      <c r="A16" s="3" t="s">
        <v>21</v>
      </c>
      <c r="B16" s="11" t="s">
        <v>15</v>
      </c>
      <c r="C16" s="11"/>
    </row>
    <row r="17" spans="1:3" x14ac:dyDescent="0.2">
      <c r="A17" s="11"/>
      <c r="B17" s="11"/>
      <c r="C17" s="11"/>
    </row>
    <row r="18" spans="1:3" ht="21.25" customHeight="1" x14ac:dyDescent="0.2">
      <c r="A18" s="3" t="s">
        <v>22</v>
      </c>
      <c r="B18" s="11" t="s">
        <v>15</v>
      </c>
      <c r="C18" s="11"/>
    </row>
    <row r="19" spans="1:3" x14ac:dyDescent="0.2">
      <c r="A19" s="11"/>
      <c r="B19" s="11"/>
      <c r="C19" s="11"/>
    </row>
    <row r="20" spans="1:3" ht="21.25" customHeight="1" x14ac:dyDescent="0.2">
      <c r="A20" s="3" t="s">
        <v>23</v>
      </c>
      <c r="B20" s="11" t="s">
        <v>15</v>
      </c>
      <c r="C20" s="11"/>
    </row>
    <row r="21" spans="1:3" x14ac:dyDescent="0.2">
      <c r="A21" s="11"/>
      <c r="B21" s="11"/>
      <c r="C21" s="11"/>
    </row>
    <row r="22" spans="1:3" ht="21.25" customHeight="1" x14ac:dyDescent="0.2">
      <c r="A22" s="3" t="s">
        <v>24</v>
      </c>
      <c r="B22" s="11" t="s">
        <v>15</v>
      </c>
      <c r="C22" s="11"/>
    </row>
    <row r="23" spans="1:3" x14ac:dyDescent="0.2">
      <c r="A23" s="11"/>
      <c r="B23" s="11"/>
      <c r="C23" s="11"/>
    </row>
    <row r="24" spans="1:3" ht="21.25" customHeight="1" x14ac:dyDescent="0.2">
      <c r="A24" s="3" t="s">
        <v>25</v>
      </c>
      <c r="B24" s="11" t="s">
        <v>3</v>
      </c>
      <c r="C24" s="11"/>
    </row>
    <row r="25" spans="1:3" ht="21.25" customHeight="1" x14ac:dyDescent="0.2">
      <c r="A25" s="1" t="s">
        <v>26</v>
      </c>
      <c r="B25" s="11" t="s">
        <v>15</v>
      </c>
      <c r="C25" s="11"/>
    </row>
    <row r="26" spans="1:3" ht="21.25" customHeight="1" x14ac:dyDescent="0.2">
      <c r="A26" s="1" t="s">
        <v>27</v>
      </c>
      <c r="B26" s="11" t="s">
        <v>28</v>
      </c>
      <c r="C26" s="11"/>
    </row>
    <row r="27" spans="1:3" ht="21.25" customHeight="1" x14ac:dyDescent="0.2">
      <c r="A27" s="1" t="s">
        <v>29</v>
      </c>
      <c r="B27" s="11" t="s">
        <v>15</v>
      </c>
      <c r="C27" s="11"/>
    </row>
    <row r="28" spans="1:3" ht="21.25" customHeight="1" x14ac:dyDescent="0.2">
      <c r="A28" s="1" t="s">
        <v>30</v>
      </c>
      <c r="B28" s="11" t="s">
        <v>15</v>
      </c>
      <c r="C28" s="11"/>
    </row>
    <row r="29" spans="1:3" x14ac:dyDescent="0.2">
      <c r="A29" s="11"/>
      <c r="B29" s="11"/>
      <c r="C29" s="11"/>
    </row>
    <row r="30" spans="1:3" ht="21.25" customHeight="1" x14ac:dyDescent="0.2">
      <c r="A30" s="3" t="s">
        <v>31</v>
      </c>
      <c r="B30" s="11" t="s">
        <v>32</v>
      </c>
      <c r="C30" s="11"/>
    </row>
    <row r="31" spans="1:3" x14ac:dyDescent="0.2">
      <c r="A31" s="11"/>
      <c r="B31" s="11"/>
      <c r="C31" s="11"/>
    </row>
    <row r="32" spans="1:3" ht="21.25" customHeight="1" x14ac:dyDescent="0.2">
      <c r="A32" s="3" t="s">
        <v>33</v>
      </c>
      <c r="B32" s="11" t="s">
        <v>3</v>
      </c>
      <c r="C32" s="11"/>
    </row>
    <row r="33" spans="1:3" ht="21.25" customHeight="1" x14ac:dyDescent="0.2">
      <c r="A33" s="1" t="s">
        <v>34</v>
      </c>
      <c r="B33" s="11" t="s">
        <v>3</v>
      </c>
      <c r="C33" s="11"/>
    </row>
    <row r="34" spans="1:3" ht="21.25" customHeight="1" x14ac:dyDescent="0.2">
      <c r="A34" s="1" t="s">
        <v>35</v>
      </c>
      <c r="B34" s="11" t="s">
        <v>0</v>
      </c>
      <c r="C34" s="11"/>
    </row>
    <row r="35" spans="1:3" ht="21.25" customHeight="1" x14ac:dyDescent="0.2">
      <c r="A35" s="1" t="s">
        <v>36</v>
      </c>
      <c r="B35" s="11" t="s">
        <v>37</v>
      </c>
      <c r="C35" s="11"/>
    </row>
    <row r="36" spans="1:3" ht="21.25" customHeight="1" x14ac:dyDescent="0.2">
      <c r="A36" s="1" t="s">
        <v>38</v>
      </c>
      <c r="B36" s="11" t="s">
        <v>7</v>
      </c>
      <c r="C36" s="11"/>
    </row>
    <row r="37" spans="1:3" ht="21.25" customHeight="1" x14ac:dyDescent="0.2">
      <c r="A37" s="1" t="s">
        <v>39</v>
      </c>
      <c r="B37" s="11" t="s">
        <v>9</v>
      </c>
      <c r="C37" s="11"/>
    </row>
    <row r="38" spans="1:3" ht="21.25" customHeight="1" x14ac:dyDescent="0.2">
      <c r="A38" s="1" t="s">
        <v>40</v>
      </c>
      <c r="B38" s="11" t="s">
        <v>13</v>
      </c>
      <c r="C38" s="11"/>
    </row>
    <row r="39" spans="1:3" ht="42.75" customHeight="1" x14ac:dyDescent="0.2">
      <c r="A39" s="1" t="s">
        <v>41</v>
      </c>
      <c r="B39" s="11" t="s">
        <v>42</v>
      </c>
      <c r="C39" s="11"/>
    </row>
    <row r="40" spans="1:3" ht="64" customHeight="1" x14ac:dyDescent="0.2">
      <c r="A40" s="1" t="s">
        <v>43</v>
      </c>
      <c r="B40" s="11" t="s">
        <v>44</v>
      </c>
      <c r="C40" s="11"/>
    </row>
    <row r="41" spans="1:3" ht="21.25" customHeight="1" x14ac:dyDescent="0.2">
      <c r="A41" s="1" t="s">
        <v>45</v>
      </c>
      <c r="B41" s="11" t="s">
        <v>3</v>
      </c>
      <c r="C41" s="11"/>
    </row>
    <row r="42" spans="1:3" ht="64" customHeight="1" x14ac:dyDescent="0.2">
      <c r="A42" s="1" t="s">
        <v>46</v>
      </c>
      <c r="B42" s="11" t="s">
        <v>47</v>
      </c>
      <c r="C42" s="11"/>
    </row>
    <row r="43" spans="1:3" ht="128" customHeight="1" x14ac:dyDescent="0.2">
      <c r="A43" s="1" t="s">
        <v>48</v>
      </c>
      <c r="B43" s="11" t="s">
        <v>49</v>
      </c>
      <c r="C43" s="11"/>
    </row>
    <row r="44" spans="1:3" ht="85.25" customHeight="1" x14ac:dyDescent="0.2">
      <c r="A44" s="1" t="s">
        <v>50</v>
      </c>
      <c r="B44" s="11" t="s">
        <v>51</v>
      </c>
      <c r="C44" s="11"/>
    </row>
    <row r="45" spans="1:3" ht="85.25" customHeight="1" x14ac:dyDescent="0.2">
      <c r="A45" s="1" t="s">
        <v>52</v>
      </c>
      <c r="B45" s="11" t="s">
        <v>53</v>
      </c>
      <c r="C45" s="11"/>
    </row>
    <row r="46" spans="1:3" ht="409.5" customHeight="1" x14ac:dyDescent="0.2">
      <c r="A46" s="1" t="s">
        <v>54</v>
      </c>
      <c r="B46" s="11" t="s">
        <v>55</v>
      </c>
      <c r="C46" s="11"/>
    </row>
    <row r="47" spans="1:3" ht="277.25" customHeight="1" x14ac:dyDescent="0.2">
      <c r="A47" s="1" t="s">
        <v>56</v>
      </c>
      <c r="B47" s="11" t="s">
        <v>57</v>
      </c>
      <c r="C47" s="11"/>
    </row>
    <row r="48" spans="1:3" ht="21.25" customHeight="1" x14ac:dyDescent="0.2">
      <c r="A48" s="1" t="s">
        <v>58</v>
      </c>
      <c r="B48" s="11" t="s">
        <v>3</v>
      </c>
      <c r="C48" s="11"/>
    </row>
    <row r="49" spans="1:3" ht="42.75" customHeight="1" x14ac:dyDescent="0.2">
      <c r="A49" s="1" t="s">
        <v>59</v>
      </c>
      <c r="B49" s="11" t="s">
        <v>60</v>
      </c>
      <c r="C49" s="11"/>
    </row>
    <row r="50" spans="1:3" ht="256" customHeight="1" x14ac:dyDescent="0.2">
      <c r="A50" s="1" t="s">
        <v>61</v>
      </c>
      <c r="B50" s="11" t="s">
        <v>62</v>
      </c>
      <c r="C50" s="11"/>
    </row>
    <row r="51" spans="1:3" ht="298.75" customHeight="1" x14ac:dyDescent="0.2">
      <c r="A51" s="1" t="s">
        <v>63</v>
      </c>
      <c r="B51" s="11" t="s">
        <v>64</v>
      </c>
      <c r="C51" s="11"/>
    </row>
    <row r="52" spans="1:3" ht="21.25" customHeight="1" x14ac:dyDescent="0.2">
      <c r="A52" s="1" t="s">
        <v>65</v>
      </c>
      <c r="B52" s="11" t="s">
        <v>3</v>
      </c>
      <c r="C52" s="11"/>
    </row>
    <row r="53" spans="1:3" ht="42.75" customHeight="1" x14ac:dyDescent="0.2">
      <c r="A53" s="1" t="s">
        <v>66</v>
      </c>
      <c r="B53" s="11" t="s">
        <v>67</v>
      </c>
      <c r="C53" s="11"/>
    </row>
    <row r="54" spans="1:3" ht="64" customHeight="1" x14ac:dyDescent="0.2">
      <c r="A54" s="1" t="s">
        <v>68</v>
      </c>
      <c r="B54" s="11" t="s">
        <v>69</v>
      </c>
      <c r="C54" s="11"/>
    </row>
    <row r="55" spans="1:3" x14ac:dyDescent="0.2">
      <c r="A55" s="11"/>
      <c r="B55" s="11"/>
      <c r="C55" s="11"/>
    </row>
    <row r="56" spans="1:3" ht="21.25" customHeight="1" x14ac:dyDescent="0.2">
      <c r="A56" s="3" t="s">
        <v>70</v>
      </c>
      <c r="B56" s="11" t="s">
        <v>15</v>
      </c>
      <c r="C56" s="11"/>
    </row>
    <row r="57" spans="1:3" x14ac:dyDescent="0.2">
      <c r="A57" s="11"/>
      <c r="B57" s="11"/>
      <c r="C57" s="1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A17:C17"/>
    <mergeCell ref="B18:C18"/>
    <mergeCell ref="A19:C19"/>
    <mergeCell ref="B20:C20"/>
    <mergeCell ref="A21:C21"/>
    <mergeCell ref="B22:C22"/>
    <mergeCell ref="A23:C23"/>
    <mergeCell ref="B24:C24"/>
    <mergeCell ref="B25:C25"/>
    <mergeCell ref="B26:C26"/>
    <mergeCell ref="B27:C27"/>
    <mergeCell ref="B28:C28"/>
    <mergeCell ref="A29:C29"/>
    <mergeCell ref="B30:C30"/>
    <mergeCell ref="A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6:C56"/>
    <mergeCell ref="A57:C57"/>
    <mergeCell ref="B51:C51"/>
    <mergeCell ref="B52:C52"/>
    <mergeCell ref="B53:C53"/>
    <mergeCell ref="B54:C54"/>
    <mergeCell ref="A55:C55"/>
  </mergeCells>
  <printOptions gridLines="1"/>
  <pageMargins left="0.7" right="0.7" top="0.75" bottom="0.75" header="0.3" footer="0.3"/>
  <pageSetup fitToHeight="0" orientation="landscape"/>
  <headerFooter>
    <oddHeader>&amp;LTable: ACSST1Y2024.S0101</oddHeader>
    <oddFooter>&amp;L&amp;Bdata.census.gov&amp;B | Measuring America's People, Places, and Economy &amp;R&amp;P</oddFooter>
    <evenHeader>&amp;LTable: ACSST1Y2024.S0101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
  <sheetViews>
    <sheetView tabSelected="1" workbookViewId="0">
      <pane xSplit="1" ySplit="3" topLeftCell="C4" activePane="bottomRight" state="frozen"/>
      <selection pane="topRight"/>
      <selection pane="bottomLeft"/>
      <selection pane="bottomRight" activeCell="H26" sqref="H26"/>
    </sheetView>
  </sheetViews>
  <sheetFormatPr baseColWidth="10" defaultColWidth="8.83203125" defaultRowHeight="15" x14ac:dyDescent="0.2"/>
  <cols>
    <col min="1" max="1" width="30" style="4" customWidth="1"/>
    <col min="2" max="13" width="20" style="4" customWidth="1"/>
    <col min="15" max="15" width="10.1640625" bestFit="1" customWidth="1"/>
  </cols>
  <sheetData>
    <row r="1" spans="1:13" ht="30" customHeight="1" x14ac:dyDescent="0.2">
      <c r="A1" s="5" t="s">
        <v>3</v>
      </c>
      <c r="B1" s="14" t="s">
        <v>71</v>
      </c>
      <c r="C1" s="14"/>
      <c r="D1" s="14"/>
      <c r="E1" s="14"/>
      <c r="F1" s="14"/>
      <c r="G1" s="14"/>
      <c r="H1" s="14"/>
      <c r="I1" s="14"/>
      <c r="J1" s="14"/>
      <c r="K1" s="14"/>
      <c r="L1" s="14"/>
      <c r="M1" s="14"/>
    </row>
    <row r="2" spans="1:13" ht="30" customHeight="1" x14ac:dyDescent="0.2">
      <c r="A2" s="5" t="s">
        <v>3</v>
      </c>
      <c r="B2" s="14" t="s">
        <v>72</v>
      </c>
      <c r="C2" s="14"/>
      <c r="D2" s="14" t="s">
        <v>73</v>
      </c>
      <c r="E2" s="14"/>
      <c r="F2" s="14" t="s">
        <v>74</v>
      </c>
      <c r="G2" s="14"/>
      <c r="H2" s="14" t="s">
        <v>75</v>
      </c>
      <c r="I2" s="14"/>
      <c r="J2" s="14" t="s">
        <v>76</v>
      </c>
      <c r="K2" s="14"/>
      <c r="L2" s="14" t="s">
        <v>77</v>
      </c>
      <c r="M2" s="14"/>
    </row>
    <row r="3" spans="1:13" ht="30" customHeight="1" x14ac:dyDescent="0.2">
      <c r="A3" s="5" t="s">
        <v>78</v>
      </c>
      <c r="B3" s="5" t="s">
        <v>79</v>
      </c>
      <c r="C3" s="5" t="s">
        <v>80</v>
      </c>
      <c r="D3" s="5" t="s">
        <v>79</v>
      </c>
      <c r="E3" s="5" t="s">
        <v>80</v>
      </c>
      <c r="F3" s="5" t="s">
        <v>79</v>
      </c>
      <c r="G3" s="5" t="s">
        <v>80</v>
      </c>
      <c r="H3" s="5" t="s">
        <v>79</v>
      </c>
      <c r="I3" s="5" t="s">
        <v>80</v>
      </c>
      <c r="J3" s="5" t="s">
        <v>79</v>
      </c>
      <c r="K3" s="5" t="s">
        <v>80</v>
      </c>
      <c r="L3" s="5" t="s">
        <v>79</v>
      </c>
      <c r="M3" s="5" t="s">
        <v>80</v>
      </c>
    </row>
    <row r="4" spans="1:13" ht="16" x14ac:dyDescent="0.2">
      <c r="A4" s="4" t="s">
        <v>81</v>
      </c>
      <c r="B4" s="4" t="s">
        <v>82</v>
      </c>
      <c r="C4" s="4" t="s">
        <v>83</v>
      </c>
      <c r="D4" s="4" t="s">
        <v>84</v>
      </c>
      <c r="E4" s="4" t="s">
        <v>84</v>
      </c>
      <c r="F4" s="4" t="s">
        <v>85</v>
      </c>
      <c r="G4" s="4" t="s">
        <v>86</v>
      </c>
      <c r="H4" s="4" t="s">
        <v>84</v>
      </c>
      <c r="I4" s="4" t="s">
        <v>84</v>
      </c>
      <c r="J4" s="4" t="s">
        <v>87</v>
      </c>
      <c r="K4" s="4" t="s">
        <v>86</v>
      </c>
      <c r="L4" s="4" t="s">
        <v>84</v>
      </c>
      <c r="M4" s="4" t="s">
        <v>84</v>
      </c>
    </row>
    <row r="5" spans="1:13" ht="16" x14ac:dyDescent="0.2">
      <c r="A5" s="6" t="s">
        <v>88</v>
      </c>
    </row>
    <row r="6" spans="1:13" ht="16" x14ac:dyDescent="0.2">
      <c r="A6" s="7" t="s">
        <v>89</v>
      </c>
      <c r="B6" s="4" t="s">
        <v>90</v>
      </c>
      <c r="C6" s="4" t="s">
        <v>91</v>
      </c>
      <c r="D6" s="4" t="s">
        <v>92</v>
      </c>
      <c r="E6" s="4" t="s">
        <v>93</v>
      </c>
      <c r="F6" s="4" t="s">
        <v>94</v>
      </c>
      <c r="G6" s="4" t="s">
        <v>95</v>
      </c>
      <c r="H6" s="4" t="s">
        <v>96</v>
      </c>
      <c r="I6" s="4" t="s">
        <v>93</v>
      </c>
      <c r="J6" s="8">
        <v>8994191</v>
      </c>
      <c r="K6" s="4" t="s">
        <v>97</v>
      </c>
      <c r="L6" s="4" t="s">
        <v>98</v>
      </c>
      <c r="M6" s="4" t="s">
        <v>93</v>
      </c>
    </row>
    <row r="7" spans="1:13" ht="16" x14ac:dyDescent="0.2">
      <c r="A7" s="7" t="s">
        <v>99</v>
      </c>
      <c r="B7" s="4" t="s">
        <v>100</v>
      </c>
      <c r="C7" s="4" t="s">
        <v>101</v>
      </c>
      <c r="D7" s="4" t="s">
        <v>102</v>
      </c>
      <c r="E7" s="4" t="s">
        <v>93</v>
      </c>
      <c r="F7" s="4" t="s">
        <v>103</v>
      </c>
      <c r="G7" s="4" t="s">
        <v>104</v>
      </c>
      <c r="H7" s="4" t="s">
        <v>105</v>
      </c>
      <c r="I7" s="4" t="s">
        <v>93</v>
      </c>
      <c r="J7" s="8">
        <v>9683275</v>
      </c>
      <c r="K7" s="4" t="s">
        <v>106</v>
      </c>
      <c r="L7" s="4" t="s">
        <v>96</v>
      </c>
      <c r="M7" s="4" t="s">
        <v>93</v>
      </c>
    </row>
    <row r="8" spans="1:13" ht="16" x14ac:dyDescent="0.2">
      <c r="A8" s="7" t="s">
        <v>107</v>
      </c>
      <c r="B8" s="4" t="s">
        <v>108</v>
      </c>
      <c r="C8" s="4" t="s">
        <v>109</v>
      </c>
      <c r="D8" s="4" t="s">
        <v>110</v>
      </c>
      <c r="E8" s="4" t="s">
        <v>93</v>
      </c>
      <c r="F8" s="4" t="s">
        <v>111</v>
      </c>
      <c r="G8" s="4" t="s">
        <v>112</v>
      </c>
      <c r="H8" s="4" t="s">
        <v>113</v>
      </c>
      <c r="I8" s="4" t="s">
        <v>93</v>
      </c>
      <c r="J8" s="8">
        <v>10369548</v>
      </c>
      <c r="K8" s="4" t="s">
        <v>114</v>
      </c>
      <c r="L8" s="4" t="s">
        <v>105</v>
      </c>
      <c r="M8" s="4" t="s">
        <v>93</v>
      </c>
    </row>
    <row r="9" spans="1:13" ht="16" x14ac:dyDescent="0.2">
      <c r="A9" s="7" t="s">
        <v>115</v>
      </c>
      <c r="B9" s="4" t="s">
        <v>116</v>
      </c>
      <c r="C9" s="4" t="s">
        <v>117</v>
      </c>
      <c r="D9" s="4" t="s">
        <v>118</v>
      </c>
      <c r="E9" s="4" t="s">
        <v>93</v>
      </c>
      <c r="F9" s="4" t="s">
        <v>119</v>
      </c>
      <c r="G9" s="4" t="s">
        <v>120</v>
      </c>
      <c r="H9" s="4" t="s">
        <v>121</v>
      </c>
      <c r="I9" s="4" t="s">
        <v>93</v>
      </c>
      <c r="J9" s="8">
        <v>10945936</v>
      </c>
      <c r="K9" s="4" t="s">
        <v>122</v>
      </c>
      <c r="L9" s="4" t="s">
        <v>123</v>
      </c>
      <c r="M9" s="4" t="s">
        <v>93</v>
      </c>
    </row>
    <row r="10" spans="1:13" ht="16" x14ac:dyDescent="0.2">
      <c r="A10" s="7" t="s">
        <v>124</v>
      </c>
      <c r="B10" s="4" t="s">
        <v>125</v>
      </c>
      <c r="C10" s="4" t="s">
        <v>126</v>
      </c>
      <c r="D10" s="4" t="s">
        <v>113</v>
      </c>
      <c r="E10" s="4" t="s">
        <v>93</v>
      </c>
      <c r="F10" s="4" t="s">
        <v>127</v>
      </c>
      <c r="G10" s="4" t="s">
        <v>128</v>
      </c>
      <c r="H10" s="4" t="s">
        <v>121</v>
      </c>
      <c r="I10" s="4" t="s">
        <v>93</v>
      </c>
      <c r="J10" s="8">
        <v>10846251</v>
      </c>
      <c r="K10" s="4" t="s">
        <v>129</v>
      </c>
      <c r="L10" s="4" t="s">
        <v>110</v>
      </c>
      <c r="M10" s="4" t="s">
        <v>93</v>
      </c>
    </row>
    <row r="11" spans="1:13" ht="16" x14ac:dyDescent="0.2">
      <c r="A11" s="7" t="s">
        <v>130</v>
      </c>
      <c r="B11" s="4" t="s">
        <v>131</v>
      </c>
      <c r="C11" s="4" t="s">
        <v>132</v>
      </c>
      <c r="D11" s="4" t="s">
        <v>118</v>
      </c>
      <c r="E11" s="4" t="s">
        <v>93</v>
      </c>
      <c r="F11" s="4" t="s">
        <v>133</v>
      </c>
      <c r="G11" s="4" t="s">
        <v>134</v>
      </c>
      <c r="H11" s="4" t="s">
        <v>135</v>
      </c>
      <c r="I11" s="4" t="s">
        <v>93</v>
      </c>
      <c r="J11" s="8">
        <v>11013730</v>
      </c>
      <c r="K11" s="4" t="s">
        <v>136</v>
      </c>
      <c r="L11" s="4" t="s">
        <v>123</v>
      </c>
      <c r="M11" s="4" t="s">
        <v>93</v>
      </c>
    </row>
    <row r="12" spans="1:13" ht="16" x14ac:dyDescent="0.2">
      <c r="A12" s="7" t="s">
        <v>137</v>
      </c>
      <c r="B12" s="4" t="s">
        <v>138</v>
      </c>
      <c r="C12" s="4" t="s">
        <v>139</v>
      </c>
      <c r="D12" s="4" t="s">
        <v>140</v>
      </c>
      <c r="E12" s="4" t="s">
        <v>93</v>
      </c>
      <c r="F12" s="4" t="s">
        <v>141</v>
      </c>
      <c r="G12" s="4" t="s">
        <v>142</v>
      </c>
      <c r="H12" s="4" t="s">
        <v>143</v>
      </c>
      <c r="I12" s="4" t="s">
        <v>93</v>
      </c>
      <c r="J12" s="8">
        <v>11824494</v>
      </c>
      <c r="K12" s="4" t="s">
        <v>144</v>
      </c>
      <c r="L12" s="4" t="s">
        <v>145</v>
      </c>
      <c r="M12" s="4" t="s">
        <v>93</v>
      </c>
    </row>
    <row r="13" spans="1:13" ht="16" x14ac:dyDescent="0.2">
      <c r="A13" s="7" t="s">
        <v>146</v>
      </c>
      <c r="B13" s="4" t="s">
        <v>147</v>
      </c>
      <c r="C13" s="4" t="s">
        <v>148</v>
      </c>
      <c r="D13" s="4" t="s">
        <v>121</v>
      </c>
      <c r="E13" s="4" t="s">
        <v>93</v>
      </c>
      <c r="F13" s="4" t="s">
        <v>149</v>
      </c>
      <c r="G13" s="4" t="s">
        <v>150</v>
      </c>
      <c r="H13" s="4" t="s">
        <v>140</v>
      </c>
      <c r="I13" s="4" t="s">
        <v>93</v>
      </c>
      <c r="J13" s="8">
        <v>11519511</v>
      </c>
      <c r="K13" s="4" t="s">
        <v>151</v>
      </c>
      <c r="L13" s="4" t="s">
        <v>135</v>
      </c>
      <c r="M13" s="4" t="s">
        <v>93</v>
      </c>
    </row>
    <row r="14" spans="1:13" ht="16" x14ac:dyDescent="0.2">
      <c r="A14" s="7" t="s">
        <v>152</v>
      </c>
      <c r="B14" s="4" t="s">
        <v>153</v>
      </c>
      <c r="C14" s="4" t="s">
        <v>154</v>
      </c>
      <c r="D14" s="4" t="s">
        <v>135</v>
      </c>
      <c r="E14" s="4" t="s">
        <v>93</v>
      </c>
      <c r="F14" s="4" t="s">
        <v>155</v>
      </c>
      <c r="G14" s="4" t="s">
        <v>156</v>
      </c>
      <c r="H14" s="4" t="s">
        <v>121</v>
      </c>
      <c r="I14" s="4" t="s">
        <v>93</v>
      </c>
      <c r="J14" s="8">
        <v>11273920</v>
      </c>
      <c r="K14" s="4" t="s">
        <v>157</v>
      </c>
      <c r="L14" s="4" t="s">
        <v>118</v>
      </c>
      <c r="M14" s="4" t="s">
        <v>93</v>
      </c>
    </row>
    <row r="15" spans="1:13" ht="16" x14ac:dyDescent="0.2">
      <c r="A15" s="7" t="s">
        <v>158</v>
      </c>
      <c r="B15" s="4" t="s">
        <v>159</v>
      </c>
      <c r="C15" s="4" t="s">
        <v>160</v>
      </c>
      <c r="D15" s="4" t="s">
        <v>105</v>
      </c>
      <c r="E15" s="4" t="s">
        <v>93</v>
      </c>
      <c r="F15" s="4" t="s">
        <v>161</v>
      </c>
      <c r="G15" s="4" t="s">
        <v>162</v>
      </c>
      <c r="H15" s="4" t="s">
        <v>105</v>
      </c>
      <c r="I15" s="4" t="s">
        <v>93</v>
      </c>
      <c r="J15" s="8">
        <v>10205992</v>
      </c>
      <c r="K15" s="4" t="s">
        <v>163</v>
      </c>
      <c r="L15" s="4" t="s">
        <v>164</v>
      </c>
      <c r="M15" s="4" t="s">
        <v>93</v>
      </c>
    </row>
    <row r="16" spans="1:13" ht="16" x14ac:dyDescent="0.2">
      <c r="A16" s="7" t="s">
        <v>165</v>
      </c>
      <c r="B16" s="4" t="s">
        <v>166</v>
      </c>
      <c r="C16" s="4" t="s">
        <v>167</v>
      </c>
      <c r="D16" s="4" t="s">
        <v>105</v>
      </c>
      <c r="E16" s="4" t="s">
        <v>93</v>
      </c>
      <c r="F16" s="4" t="s">
        <v>168</v>
      </c>
      <c r="G16" s="4" t="s">
        <v>169</v>
      </c>
      <c r="H16" s="4" t="s">
        <v>170</v>
      </c>
      <c r="I16" s="4" t="s">
        <v>93</v>
      </c>
      <c r="J16" s="8">
        <v>10288546</v>
      </c>
      <c r="K16" s="4" t="s">
        <v>171</v>
      </c>
      <c r="L16" s="4" t="s">
        <v>105</v>
      </c>
      <c r="M16" s="4" t="s">
        <v>93</v>
      </c>
    </row>
    <row r="17" spans="1:15" ht="16" x14ac:dyDescent="0.2">
      <c r="A17" s="7" t="s">
        <v>172</v>
      </c>
      <c r="B17" s="4" t="s">
        <v>173</v>
      </c>
      <c r="C17" s="4" t="s">
        <v>174</v>
      </c>
      <c r="D17" s="4" t="s">
        <v>164</v>
      </c>
      <c r="E17" s="4" t="s">
        <v>93</v>
      </c>
      <c r="F17" s="4" t="s">
        <v>175</v>
      </c>
      <c r="G17" s="4" t="s">
        <v>176</v>
      </c>
      <c r="H17" s="4" t="s">
        <v>102</v>
      </c>
      <c r="I17" s="4" t="s">
        <v>93</v>
      </c>
      <c r="J17" s="8">
        <v>10131847</v>
      </c>
      <c r="K17" s="4" t="s">
        <v>177</v>
      </c>
      <c r="L17" s="4" t="s">
        <v>164</v>
      </c>
      <c r="M17" s="4" t="s">
        <v>93</v>
      </c>
    </row>
    <row r="18" spans="1:15" ht="16" x14ac:dyDescent="0.2">
      <c r="A18" s="7" t="s">
        <v>178</v>
      </c>
      <c r="B18" s="4" t="s">
        <v>179</v>
      </c>
      <c r="C18" s="4" t="s">
        <v>180</v>
      </c>
      <c r="D18" s="4" t="s">
        <v>123</v>
      </c>
      <c r="E18" s="4" t="s">
        <v>93</v>
      </c>
      <c r="F18" s="4" t="s">
        <v>181</v>
      </c>
      <c r="G18" s="4" t="s">
        <v>182</v>
      </c>
      <c r="H18" s="4" t="s">
        <v>110</v>
      </c>
      <c r="I18" s="4" t="s">
        <v>93</v>
      </c>
      <c r="J18" s="8">
        <v>11157434</v>
      </c>
      <c r="K18" s="4" t="s">
        <v>183</v>
      </c>
      <c r="L18" s="4" t="s">
        <v>113</v>
      </c>
      <c r="M18" s="4" t="s">
        <v>93</v>
      </c>
    </row>
    <row r="19" spans="1:15" ht="16" x14ac:dyDescent="0.2">
      <c r="A19" s="7" t="s">
        <v>184</v>
      </c>
      <c r="B19" s="4" t="s">
        <v>185</v>
      </c>
      <c r="C19" s="4" t="s">
        <v>186</v>
      </c>
      <c r="D19" s="4" t="s">
        <v>187</v>
      </c>
      <c r="E19" s="4" t="s">
        <v>93</v>
      </c>
      <c r="F19" s="4" t="s">
        <v>188</v>
      </c>
      <c r="G19" s="4" t="s">
        <v>189</v>
      </c>
      <c r="H19" s="4" t="s">
        <v>190</v>
      </c>
      <c r="I19" s="4" t="s">
        <v>93</v>
      </c>
      <c r="J19" s="8">
        <v>10167648</v>
      </c>
      <c r="K19" s="4" t="s">
        <v>191</v>
      </c>
      <c r="L19" s="4" t="s">
        <v>164</v>
      </c>
      <c r="M19" s="4" t="s">
        <v>93</v>
      </c>
    </row>
    <row r="20" spans="1:15" ht="16" x14ac:dyDescent="0.2">
      <c r="A20" s="7" t="s">
        <v>192</v>
      </c>
      <c r="B20" s="4" t="s">
        <v>193</v>
      </c>
      <c r="C20" s="4" t="s">
        <v>194</v>
      </c>
      <c r="D20" s="4" t="s">
        <v>195</v>
      </c>
      <c r="E20" s="4" t="s">
        <v>93</v>
      </c>
      <c r="F20" s="4" t="s">
        <v>196</v>
      </c>
      <c r="G20" s="4" t="s">
        <v>197</v>
      </c>
      <c r="H20" s="4" t="s">
        <v>198</v>
      </c>
      <c r="I20" s="4" t="s">
        <v>93</v>
      </c>
      <c r="J20" s="8">
        <v>8673025</v>
      </c>
      <c r="K20" s="4" t="s">
        <v>199</v>
      </c>
      <c r="L20" s="4" t="s">
        <v>200</v>
      </c>
      <c r="M20" s="4" t="s">
        <v>93</v>
      </c>
    </row>
    <row r="21" spans="1:15" ht="16" x14ac:dyDescent="0.2">
      <c r="A21" s="7" t="s">
        <v>201</v>
      </c>
      <c r="B21" s="4" t="s">
        <v>202</v>
      </c>
      <c r="C21" s="4" t="s">
        <v>203</v>
      </c>
      <c r="D21" s="4" t="s">
        <v>204</v>
      </c>
      <c r="E21" s="4" t="s">
        <v>93</v>
      </c>
      <c r="F21" s="4" t="s">
        <v>205</v>
      </c>
      <c r="G21" s="4" t="s">
        <v>206</v>
      </c>
      <c r="H21" s="4" t="s">
        <v>207</v>
      </c>
      <c r="I21" s="4" t="s">
        <v>93</v>
      </c>
      <c r="J21" s="8">
        <v>6559069</v>
      </c>
      <c r="K21" s="4" t="s">
        <v>208</v>
      </c>
      <c r="L21" s="4" t="s">
        <v>209</v>
      </c>
      <c r="M21" s="4" t="s">
        <v>93</v>
      </c>
    </row>
    <row r="22" spans="1:15" ht="16" x14ac:dyDescent="0.2">
      <c r="A22" s="7" t="s">
        <v>210</v>
      </c>
      <c r="B22" s="4" t="s">
        <v>211</v>
      </c>
      <c r="C22" s="4" t="s">
        <v>212</v>
      </c>
      <c r="D22" s="4" t="s">
        <v>213</v>
      </c>
      <c r="E22" s="4" t="s">
        <v>93</v>
      </c>
      <c r="F22" s="4" t="s">
        <v>214</v>
      </c>
      <c r="G22" s="4" t="s">
        <v>215</v>
      </c>
      <c r="H22" s="4" t="s">
        <v>216</v>
      </c>
      <c r="I22" s="4" t="s">
        <v>93</v>
      </c>
      <c r="J22" s="8">
        <v>4187634</v>
      </c>
      <c r="K22" s="4" t="s">
        <v>217</v>
      </c>
      <c r="L22" s="4" t="s">
        <v>218</v>
      </c>
      <c r="M22" s="4" t="s">
        <v>93</v>
      </c>
    </row>
    <row r="23" spans="1:15" ht="32" x14ac:dyDescent="0.2">
      <c r="A23" s="7" t="s">
        <v>219</v>
      </c>
      <c r="B23" s="4" t="s">
        <v>220</v>
      </c>
      <c r="C23" s="4" t="s">
        <v>221</v>
      </c>
      <c r="D23" s="4" t="s">
        <v>216</v>
      </c>
      <c r="E23" s="4" t="s">
        <v>93</v>
      </c>
      <c r="F23" s="4" t="s">
        <v>222</v>
      </c>
      <c r="G23" s="4" t="s">
        <v>223</v>
      </c>
      <c r="H23" s="4" t="s">
        <v>224</v>
      </c>
      <c r="I23" s="4" t="s">
        <v>93</v>
      </c>
      <c r="J23" s="8">
        <v>3974596</v>
      </c>
      <c r="K23" s="4" t="s">
        <v>225</v>
      </c>
      <c r="L23" s="4" t="s">
        <v>226</v>
      </c>
      <c r="M23" s="4" t="s">
        <v>93</v>
      </c>
      <c r="N23" s="9" t="s">
        <v>364</v>
      </c>
      <c r="O23" s="10">
        <f>SUM(J16:J23)</f>
        <v>65139799</v>
      </c>
    </row>
    <row r="24" spans="1:15" ht="16" x14ac:dyDescent="0.2">
      <c r="A24" s="6" t="s">
        <v>227</v>
      </c>
      <c r="O24">
        <v>65139799</v>
      </c>
    </row>
    <row r="25" spans="1:15" ht="16" x14ac:dyDescent="0.2">
      <c r="A25" s="7" t="s">
        <v>228</v>
      </c>
      <c r="B25" s="4" t="s">
        <v>229</v>
      </c>
      <c r="C25" s="4" t="s">
        <v>230</v>
      </c>
      <c r="D25" s="4" t="s">
        <v>231</v>
      </c>
      <c r="E25" s="4" t="s">
        <v>93</v>
      </c>
      <c r="F25" s="4" t="s">
        <v>232</v>
      </c>
      <c r="G25" s="4" t="s">
        <v>233</v>
      </c>
      <c r="H25" s="4" t="s">
        <v>234</v>
      </c>
      <c r="I25" s="4" t="s">
        <v>93</v>
      </c>
      <c r="J25" s="4" t="s">
        <v>235</v>
      </c>
      <c r="K25" s="4" t="s">
        <v>236</v>
      </c>
      <c r="L25" s="4" t="s">
        <v>237</v>
      </c>
      <c r="M25" s="4" t="s">
        <v>93</v>
      </c>
    </row>
    <row r="26" spans="1:15" ht="16" x14ac:dyDescent="0.2">
      <c r="A26" s="7" t="s">
        <v>238</v>
      </c>
      <c r="B26" s="4" t="s">
        <v>239</v>
      </c>
      <c r="C26" s="4" t="s">
        <v>240</v>
      </c>
      <c r="D26" s="4" t="s">
        <v>241</v>
      </c>
      <c r="E26" s="4" t="s">
        <v>93</v>
      </c>
      <c r="F26" s="4" t="s">
        <v>242</v>
      </c>
      <c r="G26" s="4" t="s">
        <v>243</v>
      </c>
      <c r="H26" s="4" t="s">
        <v>244</v>
      </c>
      <c r="I26" s="4" t="s">
        <v>93</v>
      </c>
      <c r="J26" s="4" t="s">
        <v>245</v>
      </c>
      <c r="K26" s="4" t="s">
        <v>246</v>
      </c>
      <c r="L26" s="4" t="s">
        <v>209</v>
      </c>
      <c r="M26" s="4" t="s">
        <v>93</v>
      </c>
    </row>
    <row r="27" spans="1:15" ht="16" x14ac:dyDescent="0.2">
      <c r="A27" s="7" t="s">
        <v>247</v>
      </c>
      <c r="B27" s="4" t="s">
        <v>248</v>
      </c>
      <c r="C27" s="4" t="s">
        <v>249</v>
      </c>
      <c r="D27" s="4" t="s">
        <v>250</v>
      </c>
      <c r="E27" s="4" t="s">
        <v>93</v>
      </c>
      <c r="F27" s="4" t="s">
        <v>251</v>
      </c>
      <c r="G27" s="4" t="s">
        <v>252</v>
      </c>
      <c r="H27" s="4" t="s">
        <v>253</v>
      </c>
      <c r="I27" s="4" t="s">
        <v>93</v>
      </c>
      <c r="J27" s="4" t="s">
        <v>254</v>
      </c>
      <c r="K27" s="4" t="s">
        <v>255</v>
      </c>
      <c r="L27" s="4" t="s">
        <v>256</v>
      </c>
      <c r="M27" s="4" t="s">
        <v>93</v>
      </c>
    </row>
    <row r="28" spans="1:15" ht="16" x14ac:dyDescent="0.2">
      <c r="A28" s="7" t="s">
        <v>257</v>
      </c>
      <c r="B28" s="4" t="s">
        <v>258</v>
      </c>
      <c r="C28" s="4" t="s">
        <v>259</v>
      </c>
      <c r="D28" s="4" t="s">
        <v>260</v>
      </c>
      <c r="E28" s="4" t="s">
        <v>93</v>
      </c>
      <c r="F28" s="4" t="s">
        <v>261</v>
      </c>
      <c r="G28" s="4" t="s">
        <v>262</v>
      </c>
      <c r="H28" s="4" t="s">
        <v>263</v>
      </c>
      <c r="I28" s="4" t="s">
        <v>93</v>
      </c>
      <c r="J28" s="4" t="s">
        <v>264</v>
      </c>
      <c r="K28" s="4" t="s">
        <v>265</v>
      </c>
      <c r="L28" s="4" t="s">
        <v>266</v>
      </c>
      <c r="M28" s="4" t="s">
        <v>93</v>
      </c>
    </row>
    <row r="29" spans="1:15" ht="16" x14ac:dyDescent="0.2">
      <c r="A29" s="7" t="s">
        <v>267</v>
      </c>
      <c r="B29" s="4" t="s">
        <v>268</v>
      </c>
      <c r="C29" s="4" t="s">
        <v>269</v>
      </c>
      <c r="D29" s="4" t="s">
        <v>270</v>
      </c>
      <c r="E29" s="4" t="s">
        <v>93</v>
      </c>
      <c r="F29" s="4" t="s">
        <v>271</v>
      </c>
      <c r="G29" s="4" t="s">
        <v>272</v>
      </c>
      <c r="H29" s="4" t="s">
        <v>273</v>
      </c>
      <c r="I29" s="4" t="s">
        <v>93</v>
      </c>
      <c r="J29" s="4" t="s">
        <v>274</v>
      </c>
      <c r="K29" s="4" t="s">
        <v>275</v>
      </c>
      <c r="L29" s="4" t="s">
        <v>276</v>
      </c>
      <c r="M29" s="4" t="s">
        <v>93</v>
      </c>
    </row>
    <row r="30" spans="1:15" ht="16" x14ac:dyDescent="0.2">
      <c r="A30" s="7" t="s">
        <v>277</v>
      </c>
      <c r="B30" s="4" t="s">
        <v>278</v>
      </c>
      <c r="C30" s="4" t="s">
        <v>279</v>
      </c>
      <c r="D30" s="4" t="s">
        <v>280</v>
      </c>
      <c r="E30" s="4" t="s">
        <v>93</v>
      </c>
      <c r="F30" s="4" t="s">
        <v>281</v>
      </c>
      <c r="G30" s="4" t="s">
        <v>282</v>
      </c>
      <c r="H30" s="4" t="s">
        <v>283</v>
      </c>
      <c r="I30" s="4" t="s">
        <v>93</v>
      </c>
      <c r="J30" s="4" t="s">
        <v>284</v>
      </c>
      <c r="K30" s="4" t="s">
        <v>285</v>
      </c>
      <c r="L30" s="4" t="s">
        <v>286</v>
      </c>
      <c r="M30" s="4" t="s">
        <v>93</v>
      </c>
    </row>
    <row r="31" spans="1:15" ht="16" x14ac:dyDescent="0.2">
      <c r="A31" s="7" t="s">
        <v>287</v>
      </c>
      <c r="B31" s="4" t="s">
        <v>288</v>
      </c>
      <c r="C31" s="4" t="s">
        <v>289</v>
      </c>
      <c r="D31" s="4" t="s">
        <v>290</v>
      </c>
      <c r="E31" s="4" t="s">
        <v>93</v>
      </c>
      <c r="F31" s="4" t="s">
        <v>291</v>
      </c>
      <c r="G31" s="4" t="s">
        <v>292</v>
      </c>
      <c r="H31" s="4" t="s">
        <v>293</v>
      </c>
      <c r="I31" s="4" t="s">
        <v>93</v>
      </c>
      <c r="J31" s="4" t="s">
        <v>294</v>
      </c>
      <c r="K31" s="4" t="s">
        <v>295</v>
      </c>
      <c r="L31" s="4" t="s">
        <v>296</v>
      </c>
      <c r="M31" s="4" t="s">
        <v>93</v>
      </c>
    </row>
    <row r="32" spans="1:15" ht="16" x14ac:dyDescent="0.2">
      <c r="A32" s="7" t="s">
        <v>297</v>
      </c>
      <c r="B32" s="4" t="s">
        <v>298</v>
      </c>
      <c r="C32" s="4" t="s">
        <v>299</v>
      </c>
      <c r="D32" s="4" t="s">
        <v>300</v>
      </c>
      <c r="E32" s="4" t="s">
        <v>93</v>
      </c>
      <c r="F32" s="4" t="s">
        <v>301</v>
      </c>
      <c r="G32" s="4" t="s">
        <v>302</v>
      </c>
      <c r="H32" s="4" t="s">
        <v>303</v>
      </c>
      <c r="I32" s="4" t="s">
        <v>93</v>
      </c>
      <c r="J32" s="4" t="s">
        <v>304</v>
      </c>
      <c r="K32" s="4" t="s">
        <v>305</v>
      </c>
      <c r="L32" s="4" t="s">
        <v>306</v>
      </c>
      <c r="M32" s="4" t="s">
        <v>93</v>
      </c>
    </row>
    <row r="33" spans="1:13" ht="16" x14ac:dyDescent="0.2">
      <c r="A33" s="7" t="s">
        <v>307</v>
      </c>
      <c r="B33" s="4" t="s">
        <v>308</v>
      </c>
      <c r="C33" s="4" t="s">
        <v>309</v>
      </c>
      <c r="D33" s="4" t="s">
        <v>310</v>
      </c>
      <c r="E33" s="4" t="s">
        <v>93</v>
      </c>
      <c r="F33" s="4" t="s">
        <v>311</v>
      </c>
      <c r="G33" s="4" t="s">
        <v>312</v>
      </c>
      <c r="H33" s="4" t="s">
        <v>313</v>
      </c>
      <c r="I33" s="4" t="s">
        <v>93</v>
      </c>
      <c r="J33" s="4" t="s">
        <v>314</v>
      </c>
      <c r="K33" s="4" t="s">
        <v>315</v>
      </c>
      <c r="L33" s="4" t="s">
        <v>316</v>
      </c>
      <c r="M33" s="4" t="s">
        <v>93</v>
      </c>
    </row>
    <row r="34" spans="1:13" ht="16" x14ac:dyDescent="0.2">
      <c r="A34" s="7" t="s">
        <v>317</v>
      </c>
      <c r="B34" s="4" t="s">
        <v>318</v>
      </c>
      <c r="C34" s="4" t="s">
        <v>319</v>
      </c>
      <c r="D34" s="4" t="s">
        <v>320</v>
      </c>
      <c r="E34" s="4" t="s">
        <v>93</v>
      </c>
      <c r="F34" s="4" t="s">
        <v>321</v>
      </c>
      <c r="G34" s="4" t="s">
        <v>322</v>
      </c>
      <c r="H34" s="4" t="s">
        <v>323</v>
      </c>
      <c r="I34" s="4" t="s">
        <v>93</v>
      </c>
      <c r="J34" s="4" t="s">
        <v>324</v>
      </c>
      <c r="K34" s="4" t="s">
        <v>325</v>
      </c>
      <c r="L34" s="4" t="s">
        <v>326</v>
      </c>
      <c r="M34" s="4" t="s">
        <v>93</v>
      </c>
    </row>
    <row r="35" spans="1:13" ht="16" x14ac:dyDescent="0.2">
      <c r="A35" s="7" t="s">
        <v>327</v>
      </c>
      <c r="B35" s="4" t="s">
        <v>328</v>
      </c>
      <c r="C35" s="4" t="s">
        <v>329</v>
      </c>
      <c r="D35" s="4" t="s">
        <v>330</v>
      </c>
      <c r="E35" s="4" t="s">
        <v>93</v>
      </c>
      <c r="F35" s="4" t="s">
        <v>331</v>
      </c>
      <c r="G35" s="4" t="s">
        <v>332</v>
      </c>
      <c r="H35" s="4" t="s">
        <v>333</v>
      </c>
      <c r="I35" s="4" t="s">
        <v>93</v>
      </c>
      <c r="J35" s="4" t="s">
        <v>334</v>
      </c>
      <c r="K35" s="4" t="s">
        <v>335</v>
      </c>
      <c r="L35" s="4" t="s">
        <v>336</v>
      </c>
      <c r="M35" s="4" t="s">
        <v>93</v>
      </c>
    </row>
    <row r="36" spans="1:13" ht="16" x14ac:dyDescent="0.2">
      <c r="A36" s="7" t="s">
        <v>337</v>
      </c>
      <c r="B36" s="4" t="s">
        <v>338</v>
      </c>
      <c r="C36" s="4" t="s">
        <v>339</v>
      </c>
      <c r="D36" s="4" t="s">
        <v>340</v>
      </c>
      <c r="E36" s="4" t="s">
        <v>93</v>
      </c>
      <c r="F36" s="4" t="s">
        <v>341</v>
      </c>
      <c r="G36" s="4" t="s">
        <v>342</v>
      </c>
      <c r="H36" s="4" t="s">
        <v>113</v>
      </c>
      <c r="I36" s="4" t="s">
        <v>93</v>
      </c>
      <c r="J36" s="4" t="s">
        <v>343</v>
      </c>
      <c r="K36" s="4" t="s">
        <v>344</v>
      </c>
      <c r="L36" s="4" t="s">
        <v>345</v>
      </c>
      <c r="M36" s="4" t="s">
        <v>93</v>
      </c>
    </row>
    <row r="37" spans="1:13" ht="16" x14ac:dyDescent="0.2">
      <c r="A37" s="6" t="s">
        <v>346</v>
      </c>
    </row>
    <row r="38" spans="1:13" ht="16" x14ac:dyDescent="0.2">
      <c r="A38" s="7" t="s">
        <v>347</v>
      </c>
      <c r="B38" s="4" t="s">
        <v>348</v>
      </c>
      <c r="C38" s="4" t="s">
        <v>93</v>
      </c>
      <c r="D38" s="4" t="s">
        <v>84</v>
      </c>
      <c r="E38" s="4" t="s">
        <v>84</v>
      </c>
      <c r="F38" s="4" t="s">
        <v>349</v>
      </c>
      <c r="G38" s="4" t="s">
        <v>350</v>
      </c>
      <c r="H38" s="4" t="s">
        <v>84</v>
      </c>
      <c r="I38" s="4" t="s">
        <v>84</v>
      </c>
      <c r="J38" s="4" t="s">
        <v>351</v>
      </c>
      <c r="K38" s="4" t="s">
        <v>93</v>
      </c>
      <c r="L38" s="4" t="s">
        <v>84</v>
      </c>
      <c r="M38" s="4" t="s">
        <v>84</v>
      </c>
    </row>
    <row r="39" spans="1:13" ht="16" x14ac:dyDescent="0.2">
      <c r="A39" s="7" t="s">
        <v>352</v>
      </c>
      <c r="B39" s="4" t="s">
        <v>353</v>
      </c>
      <c r="C39" s="4" t="s">
        <v>93</v>
      </c>
      <c r="D39" s="4" t="s">
        <v>84</v>
      </c>
      <c r="E39" s="4" t="s">
        <v>84</v>
      </c>
      <c r="F39" s="4" t="s">
        <v>84</v>
      </c>
      <c r="G39" s="4" t="s">
        <v>84</v>
      </c>
      <c r="H39" s="4" t="s">
        <v>84</v>
      </c>
      <c r="I39" s="4" t="s">
        <v>84</v>
      </c>
      <c r="J39" s="4" t="s">
        <v>84</v>
      </c>
      <c r="K39" s="4" t="s">
        <v>84</v>
      </c>
      <c r="L39" s="4" t="s">
        <v>84</v>
      </c>
      <c r="M39" s="4" t="s">
        <v>84</v>
      </c>
    </row>
    <row r="40" spans="1:13" ht="16" x14ac:dyDescent="0.2">
      <c r="A40" s="7" t="s">
        <v>354</v>
      </c>
      <c r="B40" s="4" t="s">
        <v>355</v>
      </c>
      <c r="C40" s="4" t="s">
        <v>93</v>
      </c>
      <c r="D40" s="4" t="s">
        <v>84</v>
      </c>
      <c r="E40" s="4" t="s">
        <v>84</v>
      </c>
      <c r="F40" s="4" t="s">
        <v>84</v>
      </c>
      <c r="G40" s="4" t="s">
        <v>84</v>
      </c>
      <c r="H40" s="4" t="s">
        <v>84</v>
      </c>
      <c r="I40" s="4" t="s">
        <v>84</v>
      </c>
      <c r="J40" s="4" t="s">
        <v>84</v>
      </c>
      <c r="K40" s="4" t="s">
        <v>84</v>
      </c>
      <c r="L40" s="4" t="s">
        <v>84</v>
      </c>
      <c r="M40" s="4" t="s">
        <v>84</v>
      </c>
    </row>
    <row r="41" spans="1:13" ht="16" x14ac:dyDescent="0.2">
      <c r="A41" s="7" t="s">
        <v>356</v>
      </c>
      <c r="B41" s="4" t="s">
        <v>357</v>
      </c>
      <c r="C41" s="4" t="s">
        <v>93</v>
      </c>
      <c r="D41" s="4" t="s">
        <v>84</v>
      </c>
      <c r="E41" s="4" t="s">
        <v>84</v>
      </c>
      <c r="F41" s="4" t="s">
        <v>84</v>
      </c>
      <c r="G41" s="4" t="s">
        <v>84</v>
      </c>
      <c r="H41" s="4" t="s">
        <v>84</v>
      </c>
      <c r="I41" s="4" t="s">
        <v>84</v>
      </c>
      <c r="J41" s="4" t="s">
        <v>84</v>
      </c>
      <c r="K41" s="4" t="s">
        <v>84</v>
      </c>
      <c r="L41" s="4" t="s">
        <v>84</v>
      </c>
      <c r="M41" s="4" t="s">
        <v>84</v>
      </c>
    </row>
    <row r="42" spans="1:13" ht="16" x14ac:dyDescent="0.2">
      <c r="A42" s="7" t="s">
        <v>358</v>
      </c>
      <c r="B42" s="4" t="s">
        <v>359</v>
      </c>
      <c r="C42" s="4" t="s">
        <v>93</v>
      </c>
      <c r="D42" s="4" t="s">
        <v>84</v>
      </c>
      <c r="E42" s="4" t="s">
        <v>84</v>
      </c>
      <c r="F42" s="4" t="s">
        <v>84</v>
      </c>
      <c r="G42" s="4" t="s">
        <v>84</v>
      </c>
      <c r="H42" s="4" t="s">
        <v>84</v>
      </c>
      <c r="I42" s="4" t="s">
        <v>84</v>
      </c>
      <c r="J42" s="4" t="s">
        <v>84</v>
      </c>
      <c r="K42" s="4" t="s">
        <v>84</v>
      </c>
      <c r="L42" s="4" t="s">
        <v>84</v>
      </c>
      <c r="M42" s="4" t="s">
        <v>84</v>
      </c>
    </row>
    <row r="43" spans="1:13" ht="16" x14ac:dyDescent="0.2">
      <c r="A43" s="6" t="s">
        <v>360</v>
      </c>
    </row>
    <row r="44" spans="1:13" ht="16" x14ac:dyDescent="0.2">
      <c r="A44" s="7" t="s">
        <v>361</v>
      </c>
      <c r="B44" s="4" t="s">
        <v>84</v>
      </c>
      <c r="C44" s="4" t="s">
        <v>84</v>
      </c>
      <c r="D44" s="4" t="s">
        <v>362</v>
      </c>
      <c r="E44" s="4" t="s">
        <v>84</v>
      </c>
      <c r="F44" s="4" t="s">
        <v>84</v>
      </c>
      <c r="G44" s="4" t="s">
        <v>84</v>
      </c>
      <c r="H44" s="4" t="s">
        <v>84</v>
      </c>
      <c r="I44" s="4" t="s">
        <v>84</v>
      </c>
      <c r="J44" s="4" t="s">
        <v>84</v>
      </c>
      <c r="K44" s="4" t="s">
        <v>84</v>
      </c>
      <c r="L44" s="4" t="s">
        <v>84</v>
      </c>
      <c r="M44" s="4" t="s">
        <v>84</v>
      </c>
    </row>
    <row r="45" spans="1:13" ht="16" x14ac:dyDescent="0.2">
      <c r="A45" s="7" t="s">
        <v>363</v>
      </c>
      <c r="B45" s="4" t="s">
        <v>84</v>
      </c>
      <c r="C45" s="4" t="s">
        <v>84</v>
      </c>
      <c r="D45" s="4" t="s">
        <v>224</v>
      </c>
      <c r="E45" s="4" t="s">
        <v>84</v>
      </c>
      <c r="F45" s="4" t="s">
        <v>84</v>
      </c>
      <c r="G45" s="4" t="s">
        <v>84</v>
      </c>
      <c r="H45" s="4" t="s">
        <v>84</v>
      </c>
      <c r="I45" s="4" t="s">
        <v>84</v>
      </c>
      <c r="J45" s="4" t="s">
        <v>84</v>
      </c>
      <c r="K45" s="4" t="s">
        <v>84</v>
      </c>
      <c r="L45" s="4" t="s">
        <v>84</v>
      </c>
      <c r="M45" s="4" t="s">
        <v>84</v>
      </c>
    </row>
  </sheetData>
  <mergeCells count="7">
    <mergeCell ref="B1:M1"/>
    <mergeCell ref="B2:C2"/>
    <mergeCell ref="D2:E2"/>
    <mergeCell ref="F2:G2"/>
    <mergeCell ref="H2:I2"/>
    <mergeCell ref="J2:K2"/>
    <mergeCell ref="L2:M2"/>
  </mergeCells>
  <printOptions gridLines="1"/>
  <pageMargins left="0.7" right="0.7" top="0.75" bottom="0.75" header="0.3" footer="0.3"/>
  <pageSetup pageOrder="overThenDown" orientation="landscape"/>
  <headerFooter>
    <oddHeader>&amp;LTable: ACSST1Y2024.S0101</oddHeader>
    <oddFooter>&amp;L&amp;Bdata.census.gov&amp;B | Measuring America's People, Places, and Economy &amp;R&amp;P</oddFooter>
    <evenHeader>&amp;LTable: ACSST1Y2024.S0101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2025-12-02T16:55:49Z</dcterms:created>
  <dcterms:modified xsi:type="dcterms:W3CDTF">2025-12-02T17:03:58Z</dcterms:modified>
</cp:coreProperties>
</file>